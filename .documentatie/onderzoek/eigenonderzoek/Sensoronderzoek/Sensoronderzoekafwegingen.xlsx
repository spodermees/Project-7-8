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hrnl-my.sharepoint.com/personal/1079142_hr_nl/Documents/project 78 gedeeld/bestanden/"/>
    </mc:Choice>
  </mc:AlternateContent>
  <xr:revisionPtr revIDLastSave="7" documentId="8_{D8AEC94B-67BA-1342-B25A-42A6ECE8B3A2}" xr6:coauthVersionLast="47" xr6:coauthVersionMax="47" xr10:uidLastSave="{C2F6A3F6-D35B-4077-96B3-40B6D47F4CAF}"/>
  <bookViews>
    <workbookView xWindow="0" yWindow="0" windowWidth="28800" windowHeight="18000" xr2:uid="{D8D079D5-B32A-8646-B452-3E6A015F7679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5" i="1"/>
  <c r="J4" i="1"/>
  <c r="J3" i="1"/>
  <c r="H4" i="1"/>
  <c r="H5" i="1"/>
  <c r="H7" i="1"/>
  <c r="H3" i="1"/>
  <c r="F7" i="1"/>
  <c r="F8" i="1" s="1"/>
  <c r="F4" i="1"/>
  <c r="F5" i="1"/>
  <c r="F3" i="1"/>
  <c r="D7" i="1"/>
  <c r="D4" i="1"/>
  <c r="D5" i="1"/>
  <c r="D3" i="1"/>
  <c r="D8" i="1" l="1"/>
  <c r="J8" i="1"/>
  <c r="H8" i="1"/>
</calcChain>
</file>

<file path=xl/sharedStrings.xml><?xml version="1.0" encoding="utf-8"?>
<sst xmlns="http://schemas.openxmlformats.org/spreadsheetml/2006/main" count="32" uniqueCount="20">
  <si>
    <t>Alternatief  1:</t>
  </si>
  <si>
    <t>RCWL-051</t>
  </si>
  <si>
    <t>Alternatief  2:</t>
  </si>
  <si>
    <t>Lidar Lite v3</t>
  </si>
  <si>
    <t>Alternatief  3:</t>
  </si>
  <si>
    <t>XM125</t>
  </si>
  <si>
    <r>
      <rPr>
        <sz val="12"/>
        <color theme="1"/>
        <rFont val="Aptos Narrow"/>
        <scheme val="minor"/>
      </rPr>
      <t xml:space="preserve">Een variant van </t>
    </r>
    <r>
      <rPr>
        <b/>
        <sz val="12"/>
        <color theme="1"/>
        <rFont val="Aptos Narrow"/>
        <scheme val="minor"/>
      </rPr>
      <t>TI</t>
    </r>
  </si>
  <si>
    <t>Criteria:</t>
  </si>
  <si>
    <t>Weging:</t>
  </si>
  <si>
    <t>Waarde:</t>
  </si>
  <si>
    <t>score:</t>
  </si>
  <si>
    <t>Range</t>
  </si>
  <si>
    <t>Nauwkeurigheid</t>
  </si>
  <si>
    <t>Prijs</t>
  </si>
  <si>
    <t>Soort technologie</t>
  </si>
  <si>
    <t>RaDaR</t>
  </si>
  <si>
    <t>LiDaR</t>
  </si>
  <si>
    <t>fov</t>
  </si>
  <si>
    <t>Totaal:</t>
  </si>
  <si>
    <t>Som: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</si>
</sst>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AE9C-FE14-4C4E-B9DA-EE1E9D79627F}">
  <dimension ref="A1:J8"/>
  <sheetViews>
    <sheetView tabSelected="1" zoomScale="163" workbookViewId="0">
      <selection activeCell="M11" sqref="M11"/>
    </sheetView>
  </sheetViews>
  <sheetFormatPr defaultColWidth="11" defaultRowHeight="15.95"/>
  <cols>
    <col min="1" max="1" width="15.625" customWidth="1"/>
    <col min="3" max="3" width="12.375" customWidth="1"/>
    <col min="4" max="4" width="11.875" customWidth="1"/>
    <col min="5" max="5" width="12.375" customWidth="1"/>
    <col min="6" max="6" width="12" customWidth="1"/>
    <col min="7" max="7" width="13.5" customWidth="1"/>
    <col min="8" max="8" width="11.125" customWidth="1"/>
    <col min="9" max="9" width="13.125" customWidth="1"/>
    <col min="10" max="10" width="15.375" customWidth="1"/>
  </cols>
  <sheetData>
    <row r="1" spans="1:10">
      <c r="A1" s="3"/>
      <c r="B1" s="4"/>
      <c r="C1" s="25" t="s">
        <v>0</v>
      </c>
      <c r="D1" s="26" t="s">
        <v>1</v>
      </c>
      <c r="E1" s="27" t="s">
        <v>2</v>
      </c>
      <c r="F1" s="28" t="s">
        <v>3</v>
      </c>
      <c r="G1" s="25" t="s">
        <v>4</v>
      </c>
      <c r="H1" s="26" t="s">
        <v>5</v>
      </c>
      <c r="I1" s="27" t="s">
        <v>2</v>
      </c>
      <c r="J1" s="28" t="s">
        <v>6</v>
      </c>
    </row>
    <row r="2" spans="1:10" ht="17.100000000000001" thickBot="1">
      <c r="A2" s="11" t="s">
        <v>7</v>
      </c>
      <c r="B2" s="2" t="s">
        <v>8</v>
      </c>
      <c r="C2" s="7" t="s">
        <v>9</v>
      </c>
      <c r="D2" s="8" t="s">
        <v>10</v>
      </c>
      <c r="E2" s="16" t="s">
        <v>9</v>
      </c>
      <c r="F2" s="17" t="s">
        <v>10</v>
      </c>
      <c r="G2" s="7" t="s">
        <v>9</v>
      </c>
      <c r="H2" s="8" t="s">
        <v>10</v>
      </c>
      <c r="I2" s="16" t="s">
        <v>9</v>
      </c>
      <c r="J2" s="17" t="s">
        <v>10</v>
      </c>
    </row>
    <row r="3" spans="1:10" ht="17.100000000000001">
      <c r="A3" s="23" t="s">
        <v>11</v>
      </c>
      <c r="B3" s="1">
        <v>3</v>
      </c>
      <c r="C3" s="5">
        <v>1</v>
      </c>
      <c r="D3" s="6">
        <f>C3*B3</f>
        <v>3</v>
      </c>
      <c r="E3" s="14">
        <v>3</v>
      </c>
      <c r="F3" s="15">
        <f>E3*B3</f>
        <v>9</v>
      </c>
      <c r="G3" s="5">
        <v>3</v>
      </c>
      <c r="H3" s="6">
        <f>G3*B3</f>
        <v>9</v>
      </c>
      <c r="I3" s="14">
        <v>3</v>
      </c>
      <c r="J3" s="15">
        <f>I3*B3</f>
        <v>9</v>
      </c>
    </row>
    <row r="4" spans="1:10">
      <c r="A4" s="22" t="s">
        <v>12</v>
      </c>
      <c r="B4" s="1">
        <v>3</v>
      </c>
      <c r="C4" s="9">
        <v>1</v>
      </c>
      <c r="D4" s="10">
        <f t="shared" ref="D4:D7" si="0">C4*B4</f>
        <v>3</v>
      </c>
      <c r="E4" s="18">
        <v>3</v>
      </c>
      <c r="F4" s="19">
        <f t="shared" ref="F4:F7" si="1">E4*B4</f>
        <v>9</v>
      </c>
      <c r="G4" s="9">
        <v>3</v>
      </c>
      <c r="H4" s="10">
        <f t="shared" ref="H4:H7" si="2">G4*B4</f>
        <v>9</v>
      </c>
      <c r="I4" s="18">
        <v>3</v>
      </c>
      <c r="J4" s="19">
        <f>I4*B4</f>
        <v>9</v>
      </c>
    </row>
    <row r="5" spans="1:10">
      <c r="A5" s="22" t="s">
        <v>13</v>
      </c>
      <c r="B5" s="1">
        <v>3</v>
      </c>
      <c r="C5" s="9">
        <v>3</v>
      </c>
      <c r="D5" s="10">
        <f t="shared" si="0"/>
        <v>9</v>
      </c>
      <c r="E5" s="18">
        <v>1</v>
      </c>
      <c r="F5" s="19">
        <f t="shared" si="1"/>
        <v>3</v>
      </c>
      <c r="G5" s="9">
        <v>2</v>
      </c>
      <c r="H5" s="10">
        <f t="shared" si="2"/>
        <v>6</v>
      </c>
      <c r="I5" s="18">
        <v>0</v>
      </c>
      <c r="J5" s="19">
        <f>I5*B5</f>
        <v>0</v>
      </c>
    </row>
    <row r="6" spans="1:10">
      <c r="A6" s="22" t="s">
        <v>14</v>
      </c>
      <c r="B6" s="1">
        <v>2</v>
      </c>
      <c r="C6" s="9" t="s">
        <v>15</v>
      </c>
      <c r="D6" s="10">
        <v>6</v>
      </c>
      <c r="E6" s="18" t="s">
        <v>16</v>
      </c>
      <c r="F6" s="19">
        <v>4</v>
      </c>
      <c r="G6" s="9" t="s">
        <v>15</v>
      </c>
      <c r="H6" s="10">
        <v>6</v>
      </c>
      <c r="I6" s="18" t="s">
        <v>15</v>
      </c>
      <c r="J6" s="19">
        <v>6</v>
      </c>
    </row>
    <row r="7" spans="1:10" ht="17.100000000000001" thickBot="1">
      <c r="A7" s="24" t="s">
        <v>17</v>
      </c>
      <c r="B7" s="2">
        <v>2</v>
      </c>
      <c r="C7" s="7">
        <v>1</v>
      </c>
      <c r="D7" s="8">
        <f t="shared" si="0"/>
        <v>2</v>
      </c>
      <c r="E7" s="16">
        <v>3</v>
      </c>
      <c r="F7" s="17">
        <f t="shared" si="1"/>
        <v>6</v>
      </c>
      <c r="G7" s="7">
        <v>1</v>
      </c>
      <c r="H7" s="8">
        <f t="shared" si="2"/>
        <v>2</v>
      </c>
      <c r="I7" s="18">
        <v>3</v>
      </c>
      <c r="J7" s="19">
        <f t="shared" ref="J7" si="3">I7*B7</f>
        <v>6</v>
      </c>
    </row>
    <row r="8" spans="1:10" ht="17.100000000000001" thickBot="1">
      <c r="A8" s="12" t="s">
        <v>18</v>
      </c>
      <c r="B8" s="13"/>
      <c r="C8" s="7" t="s">
        <v>19</v>
      </c>
      <c r="D8" s="20">
        <f>SUM(D3:D7)</f>
        <v>23</v>
      </c>
      <c r="E8" s="16" t="s">
        <v>19</v>
      </c>
      <c r="F8" s="21">
        <f>SUM(F3:F7)</f>
        <v>31</v>
      </c>
      <c r="G8" s="7" t="s">
        <v>19</v>
      </c>
      <c r="H8" s="20">
        <f>SUM(H3:H7)</f>
        <v>32</v>
      </c>
      <c r="I8" s="29" t="s">
        <v>19</v>
      </c>
      <c r="J8" s="30">
        <f>SUM(J3:J7)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Hidde Gerritsen (1079142)</dc:creator>
  <cp:keywords/>
  <dc:description/>
  <cp:lastModifiedBy>Hwayda Hwayda Bashair (1049850)</cp:lastModifiedBy>
  <cp:revision/>
  <dcterms:created xsi:type="dcterms:W3CDTF">2025-03-14T11:32:44Z</dcterms:created>
  <dcterms:modified xsi:type="dcterms:W3CDTF">2025-03-19T17:47:20Z</dcterms:modified>
  <cp:category/>
  <cp:contentStatus/>
</cp:coreProperties>
</file>